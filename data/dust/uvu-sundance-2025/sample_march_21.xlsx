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ttolson/src/snowspectraltools/data/dust/uvu-sundance-2025/"/>
    </mc:Choice>
  </mc:AlternateContent>
  <xr:revisionPtr revIDLastSave="0" documentId="13_ncr:1_{AF4F432C-C393-C346-8786-59F8078B4964}" xr6:coauthVersionLast="47" xr6:coauthVersionMax="47" xr10:uidLastSave="{00000000-0000-0000-0000-000000000000}"/>
  <bookViews>
    <workbookView xWindow="34540" yWindow="4680" windowWidth="23260" windowHeight="12460" xr2:uid="{B16341A7-08F2-44DA-9060-B1D76E76D8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0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</calcChain>
</file>

<file path=xl/sharedStrings.xml><?xml version="1.0" encoding="utf-8"?>
<sst xmlns="http://schemas.openxmlformats.org/spreadsheetml/2006/main" count="80" uniqueCount="69">
  <si>
    <t>LPF01</t>
  </si>
  <si>
    <t>LPF02</t>
  </si>
  <si>
    <t>LPF03</t>
  </si>
  <si>
    <t>LPM01</t>
  </si>
  <si>
    <t>LPM02</t>
  </si>
  <si>
    <t>LPM03</t>
  </si>
  <si>
    <t>LPC01</t>
  </si>
  <si>
    <t>LPC02</t>
  </si>
  <si>
    <t>LPC03</t>
  </si>
  <si>
    <t>ID</t>
  </si>
  <si>
    <t>Depth</t>
  </si>
  <si>
    <t>18-23</t>
  </si>
  <si>
    <t>56-61</t>
  </si>
  <si>
    <t>55-60</t>
  </si>
  <si>
    <t>52-57</t>
  </si>
  <si>
    <t>38-43</t>
  </si>
  <si>
    <t>70-75</t>
  </si>
  <si>
    <t>10-15</t>
  </si>
  <si>
    <t>MMF01</t>
  </si>
  <si>
    <t>MMF02</t>
  </si>
  <si>
    <t>MMF03</t>
  </si>
  <si>
    <t>MMM01</t>
  </si>
  <si>
    <t>MMM02</t>
  </si>
  <si>
    <t>MMM03</t>
  </si>
  <si>
    <t>MMC01</t>
  </si>
  <si>
    <t>MMC02</t>
  </si>
  <si>
    <t>MMC03</t>
  </si>
  <si>
    <t>53-58</t>
  </si>
  <si>
    <t>54-59</t>
  </si>
  <si>
    <t>101-106</t>
  </si>
  <si>
    <t>42-47</t>
  </si>
  <si>
    <t>124-130</t>
  </si>
  <si>
    <t>SSF01</t>
  </si>
  <si>
    <t>SSF02</t>
  </si>
  <si>
    <t>SSF03</t>
  </si>
  <si>
    <t>SSM01</t>
  </si>
  <si>
    <t>SSM02</t>
  </si>
  <si>
    <t>SSM03</t>
  </si>
  <si>
    <t>SSC01</t>
  </si>
  <si>
    <t>SSC02</t>
  </si>
  <si>
    <t>SSC03</t>
  </si>
  <si>
    <t>39-44</t>
  </si>
  <si>
    <t>40-45</t>
  </si>
  <si>
    <t>58-63</t>
  </si>
  <si>
    <t>25-30</t>
  </si>
  <si>
    <t>46-51</t>
  </si>
  <si>
    <t>72-77</t>
  </si>
  <si>
    <t>Filter_1</t>
  </si>
  <si>
    <t>Filter_2</t>
  </si>
  <si>
    <t>Dust_1</t>
  </si>
  <si>
    <t>Dust_2</t>
  </si>
  <si>
    <t>SNF01</t>
  </si>
  <si>
    <t>SNF02</t>
  </si>
  <si>
    <t>SNF03</t>
  </si>
  <si>
    <t>SNM01</t>
  </si>
  <si>
    <t>SNM02</t>
  </si>
  <si>
    <t>SNC01</t>
  </si>
  <si>
    <t>SNC02</t>
  </si>
  <si>
    <t>SNC03</t>
  </si>
  <si>
    <t>60-65</t>
  </si>
  <si>
    <t>64-69</t>
  </si>
  <si>
    <t>90-95</t>
  </si>
  <si>
    <t>87-92</t>
  </si>
  <si>
    <t>48-53</t>
  </si>
  <si>
    <t>80-85</t>
  </si>
  <si>
    <t>108-113</t>
  </si>
  <si>
    <t>Dust_Conc</t>
  </si>
  <si>
    <t>Sample_mass_g</t>
  </si>
  <si>
    <t>SNM03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</si>
</sst>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quotePrefix="1" applyNumberFormat="1"/>
    <xf numFmtId="0" fontId="0" fillId="0" borderId="0" xfId="0" quotePrefix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6F8092-A888-4AC6-94E8-5D912303B56A}" name="Table1" displayName="Table1" ref="B3:I39" totalsRowShown="0">
  <autoFilter ref="B3:I39" xr:uid="{916F8092-A888-4AC6-94E8-5D912303B56A}"/>
  <tableColumns count="8">
    <tableColumn id="1" xr3:uid="{060558B5-220F-434E-950B-F5459A1F7DF9}" name="ID"/>
    <tableColumn id="2" xr3:uid="{DE4E50D3-4B9A-4668-9EF3-D078847899F0}" name="Depth"/>
    <tableColumn id="3" xr3:uid="{EBE6B4BE-6032-41D7-9B70-AB45E54DFFB9}" name="Sample_mass_g"/>
    <tableColumn id="4" xr3:uid="{473D9302-61AE-4368-8844-AE76799E0BC9}" name="Filter_1"/>
    <tableColumn id="5" xr3:uid="{4D8597C1-5300-409C-B586-D10FD8CBF7B4}" name="Filter_2"/>
    <tableColumn id="6" xr3:uid="{80781EAA-832F-4B07-8E6B-FDB43217843F}" name="Dust_1"/>
    <tableColumn id="7" xr3:uid="{3DA71CFD-8AC9-4006-B498-C0C94F13A375}" name="Dust_2"/>
    <tableColumn id="8" xr3:uid="{E64BDE68-34B9-4553-AC37-76AA07222A36}" name="Dust_Conc" dataDxfId="0">
      <calculatedColumnFormula>((AVERAGE(G4, H4) - AVERAGE(E4, F4)) / D4) * 1000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3D4AA-136B-426D-A186-2B04E8FE9F0C}">
  <dimension ref="B3:I39"/>
  <sheetViews>
    <sheetView tabSelected="1" topLeftCell="A17" workbookViewId="0">
      <selection activeCell="B36" sqref="B36"/>
    </sheetView>
  </sheetViews>
  <sheetFormatPr baseColWidth="10" defaultColWidth="8.83203125" defaultRowHeight="15" x14ac:dyDescent="0.2"/>
  <cols>
    <col min="4" max="4" width="16.6640625" customWidth="1"/>
    <col min="5" max="6" width="9.1640625" customWidth="1"/>
  </cols>
  <sheetData>
    <row r="3" spans="2:9" x14ac:dyDescent="0.2">
      <c r="B3" t="s">
        <v>9</v>
      </c>
      <c r="C3" t="s">
        <v>10</v>
      </c>
      <c r="D3" t="s">
        <v>67</v>
      </c>
      <c r="E3" t="s">
        <v>47</v>
      </c>
      <c r="F3" t="s">
        <v>48</v>
      </c>
      <c r="G3" t="s">
        <v>49</v>
      </c>
      <c r="H3" t="s">
        <v>50</v>
      </c>
      <c r="I3" t="s">
        <v>66</v>
      </c>
    </row>
    <row r="4" spans="2:9" x14ac:dyDescent="0.2">
      <c r="B4" t="s">
        <v>0</v>
      </c>
      <c r="C4" t="s">
        <v>11</v>
      </c>
      <c r="D4">
        <v>67</v>
      </c>
      <c r="E4">
        <v>1.5341</v>
      </c>
      <c r="F4">
        <v>1.5342</v>
      </c>
      <c r="G4">
        <v>1.5391999999999999</v>
      </c>
      <c r="H4">
        <v>1.5391999999999999</v>
      </c>
      <c r="I4">
        <f>((AVERAGE(G4, H4) - AVERAGE(E4, F4)) / D4) * 1000</f>
        <v>7.5373134328358196E-2</v>
      </c>
    </row>
    <row r="5" spans="2:9" x14ac:dyDescent="0.2">
      <c r="B5" t="s">
        <v>1</v>
      </c>
      <c r="C5" t="s">
        <v>11</v>
      </c>
      <c r="D5">
        <v>88</v>
      </c>
      <c r="E5">
        <v>1.5432999999999999</v>
      </c>
      <c r="F5">
        <v>1.5432999999999999</v>
      </c>
      <c r="G5">
        <v>1.55</v>
      </c>
      <c r="H5">
        <v>1.5501</v>
      </c>
      <c r="I5">
        <f t="shared" ref="I4:I39" si="0">((AVERAGE(G5, H5) - AVERAGE(E5, F5)) / D5) * 1000</f>
        <v>7.670454545454837E-2</v>
      </c>
    </row>
    <row r="6" spans="2:9" x14ac:dyDescent="0.2">
      <c r="B6" t="s">
        <v>2</v>
      </c>
      <c r="C6" t="s">
        <v>11</v>
      </c>
      <c r="D6">
        <v>100</v>
      </c>
      <c r="E6">
        <v>1.5121</v>
      </c>
      <c r="F6">
        <v>1.5170999999999999</v>
      </c>
      <c r="G6">
        <v>1.5277000000000001</v>
      </c>
      <c r="H6">
        <v>1.5276000000000001</v>
      </c>
      <c r="I6">
        <f t="shared" si="0"/>
        <v>0.13050000000000006</v>
      </c>
    </row>
    <row r="7" spans="2:9" x14ac:dyDescent="0.2">
      <c r="B7" t="s">
        <v>3</v>
      </c>
      <c r="C7" t="s">
        <v>12</v>
      </c>
      <c r="D7">
        <v>92</v>
      </c>
      <c r="E7">
        <v>1.5273000000000001</v>
      </c>
      <c r="F7">
        <v>1.5274000000000001</v>
      </c>
      <c r="G7">
        <v>1.5384</v>
      </c>
      <c r="H7">
        <v>1.5384</v>
      </c>
      <c r="I7">
        <f t="shared" si="0"/>
        <v>0.12010869565217155</v>
      </c>
    </row>
    <row r="8" spans="2:9" x14ac:dyDescent="0.2">
      <c r="B8" t="s">
        <v>4</v>
      </c>
      <c r="C8" t="s">
        <v>13</v>
      </c>
      <c r="D8">
        <v>85</v>
      </c>
      <c r="E8">
        <v>1.5165999999999999</v>
      </c>
      <c r="F8">
        <v>1.5166999999999999</v>
      </c>
      <c r="G8">
        <v>1.5284</v>
      </c>
      <c r="H8">
        <v>1.5283</v>
      </c>
      <c r="I8">
        <f t="shared" si="0"/>
        <v>0.13764705882353254</v>
      </c>
    </row>
    <row r="9" spans="2:9" x14ac:dyDescent="0.2">
      <c r="B9" t="s">
        <v>5</v>
      </c>
      <c r="C9" t="s">
        <v>14</v>
      </c>
      <c r="D9">
        <v>105</v>
      </c>
      <c r="E9">
        <v>1.5317000000000001</v>
      </c>
      <c r="F9">
        <v>1.5318000000000001</v>
      </c>
      <c r="G9">
        <v>1.5417000000000001</v>
      </c>
      <c r="H9">
        <v>1.5418000000000001</v>
      </c>
      <c r="I9">
        <f t="shared" si="0"/>
        <v>9.5238095238093207E-2</v>
      </c>
    </row>
    <row r="10" spans="2:9" x14ac:dyDescent="0.2">
      <c r="B10" t="s">
        <v>6</v>
      </c>
      <c r="C10" s="2" t="s">
        <v>17</v>
      </c>
      <c r="D10">
        <v>89</v>
      </c>
      <c r="E10">
        <v>1.5278</v>
      </c>
      <c r="F10">
        <v>1.5278</v>
      </c>
      <c r="G10">
        <v>1.5295000000000001</v>
      </c>
      <c r="H10">
        <v>1.5294000000000001</v>
      </c>
      <c r="I10">
        <f t="shared" si="0"/>
        <v>1.853932584269833E-2</v>
      </c>
    </row>
    <row r="11" spans="2:9" x14ac:dyDescent="0.2">
      <c r="B11" t="s">
        <v>7</v>
      </c>
      <c r="C11" t="s">
        <v>15</v>
      </c>
      <c r="D11">
        <v>108</v>
      </c>
      <c r="E11">
        <v>1.5326</v>
      </c>
      <c r="F11">
        <v>1.5327</v>
      </c>
      <c r="G11">
        <v>1.5335000000000001</v>
      </c>
      <c r="H11">
        <v>1.5335000000000001</v>
      </c>
      <c r="I11">
        <f t="shared" si="0"/>
        <v>7.8703703703725883E-3</v>
      </c>
    </row>
    <row r="12" spans="2:9" x14ac:dyDescent="0.2">
      <c r="B12" t="s">
        <v>8</v>
      </c>
      <c r="C12" s="1" t="s">
        <v>16</v>
      </c>
      <c r="D12">
        <v>91</v>
      </c>
      <c r="E12">
        <v>1.5307999999999999</v>
      </c>
      <c r="F12">
        <v>1.5309999999999999</v>
      </c>
      <c r="G12">
        <v>1.5335000000000001</v>
      </c>
      <c r="H12">
        <v>1.5335000000000001</v>
      </c>
      <c r="I12">
        <f t="shared" si="0"/>
        <v>2.8571428571430305E-2</v>
      </c>
    </row>
    <row r="13" spans="2:9" x14ac:dyDescent="0.2">
      <c r="B13" t="s">
        <v>18</v>
      </c>
      <c r="C13" t="s">
        <v>27</v>
      </c>
      <c r="D13">
        <v>92</v>
      </c>
      <c r="E13">
        <v>1.5262</v>
      </c>
      <c r="F13">
        <v>1.5262</v>
      </c>
      <c r="G13">
        <v>1.5349999999999999</v>
      </c>
      <c r="H13">
        <v>1.5347999999999999</v>
      </c>
      <c r="I13">
        <f t="shared" si="0"/>
        <v>9.456521739130358E-2</v>
      </c>
    </row>
    <row r="14" spans="2:9" x14ac:dyDescent="0.2">
      <c r="B14" t="s">
        <v>19</v>
      </c>
      <c r="C14" t="s">
        <v>27</v>
      </c>
      <c r="D14">
        <v>90</v>
      </c>
      <c r="E14">
        <v>1.5395000000000001</v>
      </c>
      <c r="F14">
        <v>1.5397000000000001</v>
      </c>
      <c r="G14">
        <v>1.5548999999999999</v>
      </c>
      <c r="H14">
        <v>1.5548</v>
      </c>
      <c r="I14">
        <f t="shared" si="0"/>
        <v>0.16944444444444429</v>
      </c>
    </row>
    <row r="15" spans="2:9" x14ac:dyDescent="0.2">
      <c r="B15" t="s">
        <v>20</v>
      </c>
      <c r="C15" t="s">
        <v>28</v>
      </c>
      <c r="D15">
        <v>99</v>
      </c>
      <c r="E15">
        <v>1.5459000000000001</v>
      </c>
      <c r="F15">
        <v>1.5461</v>
      </c>
      <c r="G15">
        <v>1.5518000000000001</v>
      </c>
      <c r="H15">
        <v>1.5518000000000001</v>
      </c>
      <c r="I15">
        <f t="shared" si="0"/>
        <v>5.8585858585858866E-2</v>
      </c>
    </row>
    <row r="16" spans="2:9" x14ac:dyDescent="0.2">
      <c r="B16" t="s">
        <v>21</v>
      </c>
      <c r="C16" t="s">
        <v>29</v>
      </c>
      <c r="D16">
        <v>72</v>
      </c>
      <c r="E16">
        <v>1.5309999999999999</v>
      </c>
      <c r="F16">
        <v>1.5310999999999999</v>
      </c>
      <c r="G16">
        <v>1.5410999999999999</v>
      </c>
      <c r="H16">
        <v>1.5410999999999999</v>
      </c>
      <c r="I16">
        <f t="shared" si="0"/>
        <v>0.13958333333333184</v>
      </c>
    </row>
    <row r="17" spans="2:9" x14ac:dyDescent="0.2">
      <c r="B17" t="s">
        <v>22</v>
      </c>
      <c r="C17" t="s">
        <v>29</v>
      </c>
      <c r="D17">
        <v>70</v>
      </c>
      <c r="E17">
        <v>1.5247999999999999</v>
      </c>
      <c r="F17">
        <v>1.5249999999999999</v>
      </c>
      <c r="G17">
        <v>1.534</v>
      </c>
      <c r="H17">
        <v>1.534</v>
      </c>
      <c r="I17">
        <f t="shared" si="0"/>
        <v>0.13000000000000153</v>
      </c>
    </row>
    <row r="18" spans="2:9" x14ac:dyDescent="0.2">
      <c r="B18" t="s">
        <v>23</v>
      </c>
      <c r="C18" t="s">
        <v>29</v>
      </c>
      <c r="D18">
        <v>78</v>
      </c>
      <c r="E18">
        <v>1.5362</v>
      </c>
      <c r="F18">
        <v>1.5362</v>
      </c>
      <c r="G18">
        <v>1.5475000000000001</v>
      </c>
      <c r="H18">
        <v>1.5475000000000001</v>
      </c>
      <c r="I18">
        <f t="shared" si="0"/>
        <v>0.14487179487179599</v>
      </c>
    </row>
    <row r="19" spans="2:9" x14ac:dyDescent="0.2">
      <c r="B19" t="s">
        <v>24</v>
      </c>
      <c r="C19" t="s">
        <v>30</v>
      </c>
      <c r="D19">
        <v>93</v>
      </c>
      <c r="E19">
        <v>1.5210999999999999</v>
      </c>
      <c r="F19">
        <v>1.5210999999999999</v>
      </c>
      <c r="G19">
        <v>1.5486</v>
      </c>
      <c r="H19">
        <v>1.5486</v>
      </c>
      <c r="I19">
        <f t="shared" si="0"/>
        <v>0.29569892473118364</v>
      </c>
    </row>
    <row r="20" spans="2:9" x14ac:dyDescent="0.2">
      <c r="B20" t="s">
        <v>25</v>
      </c>
      <c r="C20" t="s">
        <v>16</v>
      </c>
      <c r="D20">
        <v>94</v>
      </c>
      <c r="E20">
        <v>1.5117</v>
      </c>
      <c r="F20">
        <v>1.5169999999999999</v>
      </c>
      <c r="G20">
        <v>1.5125</v>
      </c>
      <c r="H20">
        <v>1.5124</v>
      </c>
      <c r="I20">
        <f>((AVERAGE(G20, H20) - AVERAGE(E20, F20)) / D20) * 1000</f>
        <v>-2.0212765957446945E-2</v>
      </c>
    </row>
    <row r="21" spans="2:9" x14ac:dyDescent="0.2">
      <c r="B21" t="s">
        <v>26</v>
      </c>
      <c r="C21" t="s">
        <v>31</v>
      </c>
      <c r="D21">
        <v>92</v>
      </c>
      <c r="E21">
        <v>1.5259</v>
      </c>
      <c r="F21">
        <v>1.5271999999999999</v>
      </c>
      <c r="G21">
        <v>1.5269999999999999</v>
      </c>
      <c r="H21">
        <v>1.5275000000000001</v>
      </c>
      <c r="I21">
        <f t="shared" si="0"/>
        <v>7.6086956521754885E-3</v>
      </c>
    </row>
    <row r="22" spans="2:9" x14ac:dyDescent="0.2">
      <c r="B22" t="s">
        <v>32</v>
      </c>
      <c r="C22" t="s">
        <v>41</v>
      </c>
      <c r="D22">
        <v>92</v>
      </c>
      <c r="E22">
        <v>1.5277000000000001</v>
      </c>
      <c r="F22">
        <v>1.5276000000000001</v>
      </c>
      <c r="G22">
        <v>1.5319</v>
      </c>
      <c r="H22">
        <v>1.5318000000000001</v>
      </c>
      <c r="I22">
        <f t="shared" si="0"/>
        <v>4.5652173913043277E-2</v>
      </c>
    </row>
    <row r="23" spans="2:9" x14ac:dyDescent="0.2">
      <c r="B23" t="s">
        <v>33</v>
      </c>
      <c r="C23" t="s">
        <v>41</v>
      </c>
      <c r="D23">
        <v>90</v>
      </c>
      <c r="E23">
        <v>1.5258</v>
      </c>
      <c r="F23">
        <v>1.5258</v>
      </c>
      <c r="G23">
        <v>1.5293000000000001</v>
      </c>
      <c r="H23">
        <v>1.5291999999999999</v>
      </c>
      <c r="I23">
        <f t="shared" si="0"/>
        <v>3.833333333333281E-2</v>
      </c>
    </row>
    <row r="24" spans="2:9" x14ac:dyDescent="0.2">
      <c r="B24" t="s">
        <v>34</v>
      </c>
      <c r="C24" t="s">
        <v>42</v>
      </c>
      <c r="D24">
        <v>93</v>
      </c>
      <c r="E24">
        <v>1.5609999999999999</v>
      </c>
      <c r="F24">
        <v>1.5608</v>
      </c>
      <c r="G24">
        <v>1.5642</v>
      </c>
      <c r="H24">
        <v>1.5642</v>
      </c>
      <c r="I24">
        <f t="shared" si="0"/>
        <v>3.5483870967742803E-2</v>
      </c>
    </row>
    <row r="25" spans="2:9" x14ac:dyDescent="0.2">
      <c r="B25" t="s">
        <v>35</v>
      </c>
      <c r="C25" t="s">
        <v>43</v>
      </c>
      <c r="D25">
        <v>112</v>
      </c>
      <c r="E25">
        <v>1.5530999999999999</v>
      </c>
      <c r="F25">
        <v>1.5530999999999999</v>
      </c>
      <c r="G25">
        <v>1.5595000000000001</v>
      </c>
      <c r="H25">
        <v>1.5593999999999999</v>
      </c>
      <c r="I25">
        <f t="shared" si="0"/>
        <v>5.6696428571429265E-2</v>
      </c>
    </row>
    <row r="26" spans="2:9" x14ac:dyDescent="0.2">
      <c r="B26" t="s">
        <v>36</v>
      </c>
      <c r="C26" t="s">
        <v>43</v>
      </c>
      <c r="D26">
        <v>84</v>
      </c>
      <c r="E26">
        <v>1.5481</v>
      </c>
      <c r="F26">
        <v>1.5479000000000001</v>
      </c>
      <c r="G26">
        <v>1.5541</v>
      </c>
      <c r="H26">
        <v>1.5543</v>
      </c>
      <c r="I26">
        <f t="shared" si="0"/>
        <v>7.3809523809523617E-2</v>
      </c>
    </row>
    <row r="27" spans="2:9" x14ac:dyDescent="0.2">
      <c r="B27" t="s">
        <v>37</v>
      </c>
      <c r="C27" t="s">
        <v>43</v>
      </c>
      <c r="D27">
        <v>95</v>
      </c>
      <c r="E27">
        <v>1.5266</v>
      </c>
      <c r="F27">
        <v>1.5265</v>
      </c>
      <c r="G27">
        <v>1.5327999999999999</v>
      </c>
      <c r="H27">
        <v>1.5325</v>
      </c>
      <c r="I27">
        <f t="shared" si="0"/>
        <v>6.4210526315789412E-2</v>
      </c>
    </row>
    <row r="28" spans="2:9" x14ac:dyDescent="0.2">
      <c r="B28" t="s">
        <v>38</v>
      </c>
      <c r="C28" t="s">
        <v>44</v>
      </c>
      <c r="D28">
        <v>91</v>
      </c>
      <c r="E28">
        <v>1.5445</v>
      </c>
      <c r="F28">
        <v>1.5443</v>
      </c>
      <c r="G28">
        <v>1.5443</v>
      </c>
      <c r="H28">
        <v>1.5444</v>
      </c>
      <c r="I28">
        <f t="shared" si="0"/>
        <v>-5.494505494492689E-4</v>
      </c>
    </row>
    <row r="29" spans="2:9" x14ac:dyDescent="0.2">
      <c r="B29" t="s">
        <v>39</v>
      </c>
      <c r="C29" t="s">
        <v>45</v>
      </c>
      <c r="D29">
        <v>70</v>
      </c>
      <c r="E29">
        <v>1.5519000000000001</v>
      </c>
      <c r="F29">
        <v>1.5519000000000001</v>
      </c>
      <c r="G29">
        <v>1.5524</v>
      </c>
      <c r="H29">
        <v>1.5523</v>
      </c>
      <c r="I29">
        <f t="shared" si="0"/>
        <v>6.4285714285723071E-3</v>
      </c>
    </row>
    <row r="30" spans="2:9" x14ac:dyDescent="0.2">
      <c r="B30" t="s">
        <v>40</v>
      </c>
      <c r="C30" t="s">
        <v>46</v>
      </c>
      <c r="D30">
        <v>75</v>
      </c>
      <c r="E30">
        <v>1.5246</v>
      </c>
      <c r="F30">
        <v>1.5246</v>
      </c>
      <c r="G30">
        <v>1.5253000000000001</v>
      </c>
      <c r="H30">
        <v>1.5248999999999999</v>
      </c>
      <c r="I30">
        <f t="shared" si="0"/>
        <v>6.6666666666688927E-3</v>
      </c>
    </row>
    <row r="31" spans="2:9" x14ac:dyDescent="0.2">
      <c r="B31" t="s">
        <v>51</v>
      </c>
      <c r="C31" t="s">
        <v>12</v>
      </c>
      <c r="D31">
        <v>73</v>
      </c>
      <c r="E31">
        <v>1.5085999999999999</v>
      </c>
      <c r="F31">
        <v>1.5084</v>
      </c>
      <c r="G31">
        <v>1.5129999999999999</v>
      </c>
      <c r="H31">
        <v>1.5128999999999999</v>
      </c>
      <c r="I31">
        <f t="shared" si="0"/>
        <v>6.0958904109589929E-2</v>
      </c>
    </row>
    <row r="32" spans="2:9" x14ac:dyDescent="0.2">
      <c r="B32" t="s">
        <v>52</v>
      </c>
      <c r="C32" t="s">
        <v>59</v>
      </c>
      <c r="D32">
        <v>78</v>
      </c>
      <c r="E32">
        <v>1.5256000000000001</v>
      </c>
      <c r="F32">
        <v>1.5258</v>
      </c>
      <c r="G32">
        <v>1.5326</v>
      </c>
      <c r="H32">
        <v>1.5326</v>
      </c>
      <c r="I32">
        <f t="shared" si="0"/>
        <v>8.8461538461537259E-2</v>
      </c>
    </row>
    <row r="33" spans="2:9" x14ac:dyDescent="0.2">
      <c r="B33" t="s">
        <v>53</v>
      </c>
      <c r="C33" t="s">
        <v>60</v>
      </c>
      <c r="D33">
        <v>75</v>
      </c>
      <c r="E33">
        <v>1.5284</v>
      </c>
      <c r="F33">
        <v>1.5284</v>
      </c>
      <c r="G33">
        <v>1.5331999999999999</v>
      </c>
      <c r="H33">
        <v>1.5329999999999999</v>
      </c>
      <c r="I33">
        <f t="shared" si="0"/>
        <v>6.2666666666665691E-2</v>
      </c>
    </row>
    <row r="34" spans="2:9" x14ac:dyDescent="0.2">
      <c r="B34" t="s">
        <v>54</v>
      </c>
      <c r="C34" t="s">
        <v>61</v>
      </c>
      <c r="D34">
        <v>68</v>
      </c>
      <c r="E34">
        <v>1.5375000000000001</v>
      </c>
      <c r="F34">
        <v>1.5370999999999999</v>
      </c>
      <c r="G34">
        <v>1.5430999999999999</v>
      </c>
      <c r="H34">
        <v>1.5429999999999999</v>
      </c>
      <c r="I34">
        <f t="shared" si="0"/>
        <v>8.4558823529410618E-2</v>
      </c>
    </row>
    <row r="35" spans="2:9" x14ac:dyDescent="0.2">
      <c r="B35" t="s">
        <v>55</v>
      </c>
      <c r="C35" t="s">
        <v>61</v>
      </c>
      <c r="D35">
        <v>69</v>
      </c>
      <c r="E35">
        <v>1.526</v>
      </c>
      <c r="F35">
        <v>1.5262</v>
      </c>
      <c r="G35">
        <v>1.5314000000000001</v>
      </c>
      <c r="H35">
        <v>1.5313000000000001</v>
      </c>
      <c r="I35">
        <f t="shared" si="0"/>
        <v>7.6086956521742008E-2</v>
      </c>
    </row>
    <row r="36" spans="2:9" x14ac:dyDescent="0.2">
      <c r="B36" t="s">
        <v>68</v>
      </c>
      <c r="C36" t="s">
        <v>62</v>
      </c>
      <c r="D36">
        <v>67</v>
      </c>
      <c r="E36">
        <v>1.5284</v>
      </c>
      <c r="F36">
        <v>1.5281</v>
      </c>
      <c r="G36">
        <v>1.5319</v>
      </c>
      <c r="H36">
        <v>1.5322</v>
      </c>
      <c r="I36">
        <f t="shared" si="0"/>
        <v>5.6716417910448139E-2</v>
      </c>
    </row>
    <row r="37" spans="2:9" x14ac:dyDescent="0.2">
      <c r="B37" t="s">
        <v>56</v>
      </c>
      <c r="C37" t="s">
        <v>63</v>
      </c>
      <c r="D37">
        <v>83</v>
      </c>
      <c r="E37">
        <v>1.5335000000000001</v>
      </c>
      <c r="F37">
        <v>1.5333000000000001</v>
      </c>
      <c r="G37">
        <v>1.5345</v>
      </c>
      <c r="H37">
        <v>1.5344</v>
      </c>
      <c r="I37">
        <f t="shared" si="0"/>
        <v>1.2650602409638499E-2</v>
      </c>
    </row>
    <row r="38" spans="2:9" x14ac:dyDescent="0.2">
      <c r="B38" t="s">
        <v>57</v>
      </c>
      <c r="C38" t="s">
        <v>64</v>
      </c>
      <c r="D38">
        <v>82</v>
      </c>
      <c r="E38">
        <v>1.5736000000000001</v>
      </c>
      <c r="F38">
        <v>1.5734999999999999</v>
      </c>
      <c r="G38">
        <v>1.5135000000000001</v>
      </c>
      <c r="H38">
        <v>1.5136000000000001</v>
      </c>
      <c r="I38">
        <f t="shared" si="0"/>
        <v>-0.73170731707317138</v>
      </c>
    </row>
    <row r="39" spans="2:9" x14ac:dyDescent="0.2">
      <c r="B39" t="s">
        <v>58</v>
      </c>
      <c r="C39" t="s">
        <v>65</v>
      </c>
      <c r="D39">
        <v>61</v>
      </c>
      <c r="E39">
        <v>1.5739000000000001</v>
      </c>
      <c r="F39">
        <v>1.5734999999999999</v>
      </c>
      <c r="G39">
        <v>1.5745</v>
      </c>
      <c r="H39">
        <v>1.5744</v>
      </c>
      <c r="I39">
        <f t="shared" si="0"/>
        <v>1.2295081967213579E-2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Kaya Frazier</dc:creator>
  <cp:lastModifiedBy>Matt Olson</cp:lastModifiedBy>
  <dcterms:created xsi:type="dcterms:W3CDTF">2025-04-29T23:35:19Z</dcterms:created>
  <dcterms:modified xsi:type="dcterms:W3CDTF">2025-05-08T04:00:21Z</dcterms:modified>
</cp:coreProperties>
</file>