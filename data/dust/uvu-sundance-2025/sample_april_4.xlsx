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880283f93011ba/Research/Excel/"/>
    </mc:Choice>
  </mc:AlternateContent>
  <xr:revisionPtr revIDLastSave="415" documentId="8_{822A7A1C-37FC-43F4-A69A-24654A86CC7A}" xr6:coauthVersionLast="47" xr6:coauthVersionMax="47" xr10:uidLastSave="{15D0407A-5C78-4E58-8D99-38FB7EBB942D}"/>
  <bookViews>
    <workbookView xWindow="-108" yWindow="-108" windowWidth="23256" windowHeight="12456" xr2:uid="{DF957EFE-E197-4767-AD74-FA47FDF5C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</calcChain>
</file>

<file path=xl/sharedStrings.xml><?xml version="1.0" encoding="utf-8"?>
<sst xmlns="http://schemas.openxmlformats.org/spreadsheetml/2006/main" count="124" uniqueCount="110">
  <si>
    <t>ID</t>
  </si>
  <si>
    <t>Depth</t>
  </si>
  <si>
    <t>Sample_mass_g</t>
  </si>
  <si>
    <t>Filter_1</t>
  </si>
  <si>
    <t>Filter_2</t>
  </si>
  <si>
    <t>Dust_1</t>
  </si>
  <si>
    <t>Dust_2</t>
  </si>
  <si>
    <t>Dust_conc</t>
  </si>
  <si>
    <t>LPS1</t>
  </si>
  <si>
    <t>LPS2</t>
  </si>
  <si>
    <t>F</t>
  </si>
  <si>
    <t>LPL2</t>
  </si>
  <si>
    <t>LPL1</t>
  </si>
  <si>
    <t>LPF01</t>
  </si>
  <si>
    <t>LPF02</t>
  </si>
  <si>
    <t>LPF03V</t>
  </si>
  <si>
    <t>42-47</t>
  </si>
  <si>
    <t>41-46</t>
  </si>
  <si>
    <t>37-47</t>
  </si>
  <si>
    <t>LPS3V</t>
  </si>
  <si>
    <t>17-22</t>
  </si>
  <si>
    <t>14-24</t>
  </si>
  <si>
    <t>27-32</t>
  </si>
  <si>
    <t>11-21</t>
  </si>
  <si>
    <t>LPC01</t>
  </si>
  <si>
    <t>LPC02</t>
  </si>
  <si>
    <t>MMF01</t>
  </si>
  <si>
    <t>MMF02</t>
  </si>
  <si>
    <t>MMF03V</t>
  </si>
  <si>
    <t>MMM01</t>
  </si>
  <si>
    <t>MMM02</t>
  </si>
  <si>
    <t>MMM03V</t>
  </si>
  <si>
    <t>MMLM01</t>
  </si>
  <si>
    <t>MMLM02</t>
  </si>
  <si>
    <t>MMLM03V</t>
  </si>
  <si>
    <t>MML01</t>
  </si>
  <si>
    <t>MML02</t>
  </si>
  <si>
    <t>MMC01</t>
  </si>
  <si>
    <t>MMC02</t>
  </si>
  <si>
    <t>MMC03</t>
  </si>
  <si>
    <t>MM3D01</t>
  </si>
  <si>
    <t>MM3D02</t>
  </si>
  <si>
    <t>MM3D03</t>
  </si>
  <si>
    <t>45-50</t>
  </si>
  <si>
    <t>47-52</t>
  </si>
  <si>
    <t>42-52</t>
  </si>
  <si>
    <t>82-87</t>
  </si>
  <si>
    <t>83-88</t>
  </si>
  <si>
    <t>77-87</t>
  </si>
  <si>
    <t>115-120</t>
  </si>
  <si>
    <t>110-120</t>
  </si>
  <si>
    <t>113-123</t>
  </si>
  <si>
    <t>84-94</t>
  </si>
  <si>
    <t>31-36</t>
  </si>
  <si>
    <t>61-66</t>
  </si>
  <si>
    <t>97-102</t>
  </si>
  <si>
    <t>M</t>
  </si>
  <si>
    <t>LM</t>
  </si>
  <si>
    <t>SSF01</t>
  </si>
  <si>
    <t>SSF02</t>
  </si>
  <si>
    <t>SSM01</t>
  </si>
  <si>
    <t>SSM02</t>
  </si>
  <si>
    <t>SSLM01</t>
  </si>
  <si>
    <t>SSLM02</t>
  </si>
  <si>
    <t>SSF03V</t>
  </si>
  <si>
    <t>SSM03V</t>
  </si>
  <si>
    <t>SSLM03V</t>
  </si>
  <si>
    <t>SSC01</t>
  </si>
  <si>
    <t>SSC02</t>
  </si>
  <si>
    <t>SSC03</t>
  </si>
  <si>
    <t>SSL01</t>
  </si>
  <si>
    <t>SSL02</t>
  </si>
  <si>
    <t>46-51</t>
  </si>
  <si>
    <t>45-55</t>
  </si>
  <si>
    <t>62-67</t>
  </si>
  <si>
    <t>58-68</t>
  </si>
  <si>
    <t>68-73</t>
  </si>
  <si>
    <t>68-78</t>
  </si>
  <si>
    <t>30-35</t>
  </si>
  <si>
    <t>55-60</t>
  </si>
  <si>
    <t>79-84</t>
  </si>
  <si>
    <t>67-77</t>
  </si>
  <si>
    <t>SNF01</t>
  </si>
  <si>
    <t>SNF02</t>
  </si>
  <si>
    <t>SNM01</t>
  </si>
  <si>
    <t>SNM02</t>
  </si>
  <si>
    <t>SNLM01</t>
  </si>
  <si>
    <t>SNLM02</t>
  </si>
  <si>
    <t>SNF03V</t>
  </si>
  <si>
    <t>SNM03V</t>
  </si>
  <si>
    <t>SNLM03V</t>
  </si>
  <si>
    <t>54-59</t>
  </si>
  <si>
    <t>52-62</t>
  </si>
  <si>
    <t>85-90</t>
  </si>
  <si>
    <t>82-92</t>
  </si>
  <si>
    <t>112-117</t>
  </si>
  <si>
    <t>111-116</t>
  </si>
  <si>
    <t>SNC01</t>
  </si>
  <si>
    <t>SNC02</t>
  </si>
  <si>
    <t>SNC03</t>
  </si>
  <si>
    <t>SNL1</t>
  </si>
  <si>
    <t>SNL2</t>
  </si>
  <si>
    <t>SN3D01</t>
  </si>
  <si>
    <t>SN3D02</t>
  </si>
  <si>
    <t>SN3D03</t>
  </si>
  <si>
    <t>35-40</t>
  </si>
  <si>
    <t>70-75</t>
  </si>
  <si>
    <t>100-105</t>
  </si>
  <si>
    <t>107-117</t>
  </si>
  <si>
    <t>81-91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</si>
</sst>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9E8A7-7E44-4540-AA4F-F3CD0BE489F7}" name="Table1" displayName="Table1" ref="B3:I61" totalsRowShown="0">
  <autoFilter ref="B3:I61" xr:uid="{97F9E8A7-7E44-4540-AA4F-F3CD0BE489F7}"/>
  <tableColumns count="8">
    <tableColumn id="1" xr3:uid="{4D2CDEA0-7353-420D-B7AD-C09556CF4AE1}" name="ID"/>
    <tableColumn id="2" xr3:uid="{AC7A7028-E055-4C10-85C6-8833996F3A24}" name="Depth"/>
    <tableColumn id="3" xr3:uid="{B43FC9C7-48C4-4EC5-8405-6EB09178402E}" name="Sample_mass_g"/>
    <tableColumn id="4" xr3:uid="{65424BCC-4EAD-41F4-9B07-9E4000606F05}" name="Filter_1"/>
    <tableColumn id="5" xr3:uid="{B9A465C8-6ADD-4558-8539-23ACD26D4D50}" name="Filter_2"/>
    <tableColumn id="6" xr3:uid="{1D43CB76-065C-468B-A8A9-20BBBA580AF9}" name="Dust_1"/>
    <tableColumn id="7" xr3:uid="{3CD8C964-6416-4B15-AC8B-147D87F7B305}" name="Dust_2"/>
    <tableColumn id="8" xr3:uid="{F23D5799-21DE-420A-A20F-C80297753D0C}" name="Dust_conc" dataDxfId="0">
      <calculatedColumnFormula>((AVERAGE(G4, H4) - AVERAGE(E4, F4)) / D4) * 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032D-BFA3-46A8-90C0-19B6F2059D04}">
  <dimension ref="B3:I61"/>
  <sheetViews>
    <sheetView tabSelected="1" topLeftCell="A38" workbookViewId="0">
      <selection activeCell="J58" sqref="J58"/>
    </sheetView>
  </sheetViews>
  <sheetFormatPr defaultRowHeight="14.4" x14ac:dyDescent="0.3"/>
  <cols>
    <col min="4" max="4" width="16.21875" customWidth="1"/>
    <col min="5" max="6" width="9.109375" customWidth="1"/>
  </cols>
  <sheetData>
    <row r="3" spans="2:9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2:9" x14ac:dyDescent="0.3">
      <c r="B4" t="s">
        <v>8</v>
      </c>
      <c r="C4" t="s">
        <v>16</v>
      </c>
      <c r="D4">
        <v>78</v>
      </c>
      <c r="E4">
        <v>1.534</v>
      </c>
      <c r="F4">
        <v>1.534</v>
      </c>
      <c r="G4">
        <v>1.5489999999999999</v>
      </c>
      <c r="H4">
        <v>1.5488</v>
      </c>
      <c r="I4">
        <f t="shared" ref="I4:I35" si="0">((AVERAGE(G4, H4) - AVERAGE(E4, F4)) / D4) * 1000</f>
        <v>0.19102564102563993</v>
      </c>
    </row>
    <row r="5" spans="2:9" x14ac:dyDescent="0.3">
      <c r="B5" t="s">
        <v>9</v>
      </c>
      <c r="C5" t="s">
        <v>17</v>
      </c>
      <c r="D5">
        <v>99</v>
      </c>
      <c r="E5">
        <v>1.5324</v>
      </c>
      <c r="F5">
        <v>1.5323</v>
      </c>
      <c r="G5">
        <v>1.542</v>
      </c>
      <c r="H5">
        <v>1.5422</v>
      </c>
      <c r="I5">
        <f t="shared" si="0"/>
        <v>9.8484848484847731E-2</v>
      </c>
    </row>
    <row r="6" spans="2:9" x14ac:dyDescent="0.3">
      <c r="B6" t="s">
        <v>19</v>
      </c>
      <c r="C6" t="s">
        <v>18</v>
      </c>
      <c r="D6">
        <v>91</v>
      </c>
      <c r="E6">
        <v>1.5150999999999999</v>
      </c>
      <c r="F6">
        <v>1.5153000000000001</v>
      </c>
      <c r="G6">
        <v>1.5218</v>
      </c>
      <c r="H6">
        <v>1.5217000000000001</v>
      </c>
      <c r="I6">
        <f t="shared" si="0"/>
        <v>7.197802197802014E-2</v>
      </c>
    </row>
    <row r="7" spans="2:9" x14ac:dyDescent="0.3">
      <c r="B7" t="s">
        <v>12</v>
      </c>
      <c r="C7" t="s">
        <v>18</v>
      </c>
      <c r="D7">
        <v>362</v>
      </c>
      <c r="E7">
        <v>1.5335000000000001</v>
      </c>
      <c r="F7">
        <v>1.5335000000000001</v>
      </c>
      <c r="G7">
        <v>1.5671999999999999</v>
      </c>
      <c r="H7">
        <v>1.5671999999999999</v>
      </c>
      <c r="I7">
        <f t="shared" si="0"/>
        <v>9.3093922651933267E-2</v>
      </c>
    </row>
    <row r="8" spans="2:9" x14ac:dyDescent="0.3">
      <c r="B8" t="s">
        <v>11</v>
      </c>
      <c r="C8" s="1" t="s">
        <v>23</v>
      </c>
      <c r="D8">
        <v>376</v>
      </c>
      <c r="E8">
        <v>1.5230999999999999</v>
      </c>
      <c r="F8">
        <v>1.5230999999999999</v>
      </c>
      <c r="G8">
        <v>1.5464</v>
      </c>
      <c r="H8">
        <v>1.5464</v>
      </c>
      <c r="I8">
        <f t="shared" si="0"/>
        <v>6.1968085106383242E-2</v>
      </c>
    </row>
    <row r="9" spans="2:9" x14ac:dyDescent="0.3">
      <c r="B9" t="s">
        <v>13</v>
      </c>
      <c r="C9" t="s">
        <v>20</v>
      </c>
      <c r="D9">
        <v>100</v>
      </c>
      <c r="E9">
        <v>1.5113000000000001</v>
      </c>
      <c r="F9">
        <v>1.5111000000000001</v>
      </c>
      <c r="G9">
        <v>1.524</v>
      </c>
      <c r="H9">
        <v>1.5241</v>
      </c>
      <c r="I9">
        <f t="shared" si="0"/>
        <v>0.12849999999999806</v>
      </c>
    </row>
    <row r="10" spans="2:9" x14ac:dyDescent="0.3">
      <c r="B10" t="s">
        <v>14</v>
      </c>
      <c r="C10" t="s">
        <v>20</v>
      </c>
      <c r="D10">
        <v>76</v>
      </c>
      <c r="E10">
        <v>1.5338000000000001</v>
      </c>
      <c r="F10">
        <v>1.5337000000000001</v>
      </c>
      <c r="G10">
        <v>1.5459000000000001</v>
      </c>
      <c r="H10">
        <v>1.5464</v>
      </c>
      <c r="I10">
        <f t="shared" si="0"/>
        <v>0.16315789473684167</v>
      </c>
    </row>
    <row r="11" spans="2:9" x14ac:dyDescent="0.3">
      <c r="B11" t="s">
        <v>15</v>
      </c>
      <c r="C11" t="s">
        <v>21</v>
      </c>
      <c r="D11">
        <v>96</v>
      </c>
      <c r="E11">
        <v>1.5316000000000001</v>
      </c>
      <c r="F11">
        <v>1.5319</v>
      </c>
      <c r="G11">
        <v>1.5385</v>
      </c>
      <c r="H11">
        <v>1.5384</v>
      </c>
      <c r="I11">
        <f t="shared" si="0"/>
        <v>6.9791666666665919E-2</v>
      </c>
    </row>
    <row r="12" spans="2:9" x14ac:dyDescent="0.3">
      <c r="B12" t="s">
        <v>24</v>
      </c>
      <c r="C12" t="s">
        <v>22</v>
      </c>
      <c r="D12">
        <v>105</v>
      </c>
      <c r="E12">
        <v>1.5464</v>
      </c>
      <c r="F12">
        <v>1.5462</v>
      </c>
      <c r="G12">
        <v>1.5469999999999999</v>
      </c>
      <c r="H12">
        <v>1.5474000000000001</v>
      </c>
      <c r="I12">
        <f t="shared" si="0"/>
        <v>8.5714285714297411E-3</v>
      </c>
    </row>
    <row r="13" spans="2:9" x14ac:dyDescent="0.3">
      <c r="B13" t="s">
        <v>25</v>
      </c>
      <c r="C13" t="s">
        <v>22</v>
      </c>
      <c r="D13">
        <v>106</v>
      </c>
      <c r="E13">
        <v>1.5479000000000001</v>
      </c>
      <c r="F13">
        <v>1.5479000000000001</v>
      </c>
      <c r="G13">
        <v>1.5489999999999999</v>
      </c>
      <c r="H13">
        <v>1.5487</v>
      </c>
      <c r="I13">
        <f t="shared" si="0"/>
        <v>8.9622641509413611E-3</v>
      </c>
    </row>
    <row r="14" spans="2:9" x14ac:dyDescent="0.3">
      <c r="B14" t="s">
        <v>26</v>
      </c>
      <c r="C14" t="s">
        <v>43</v>
      </c>
      <c r="D14">
        <v>95</v>
      </c>
      <c r="E14">
        <v>1.5452999999999999</v>
      </c>
      <c r="F14">
        <v>1.5454000000000001</v>
      </c>
      <c r="G14">
        <v>1.5523</v>
      </c>
      <c r="H14">
        <v>1.5522</v>
      </c>
      <c r="I14">
        <f t="shared" si="0"/>
        <v>7.2631578947367437E-2</v>
      </c>
    </row>
    <row r="15" spans="2:9" x14ac:dyDescent="0.3">
      <c r="B15" t="s">
        <v>27</v>
      </c>
      <c r="C15" t="s">
        <v>44</v>
      </c>
      <c r="D15">
        <v>93</v>
      </c>
      <c r="E15">
        <v>1.5604</v>
      </c>
      <c r="F15">
        <v>1.5604</v>
      </c>
      <c r="G15">
        <v>1.5717000000000001</v>
      </c>
      <c r="H15">
        <v>1.5713999999999999</v>
      </c>
      <c r="I15">
        <f t="shared" si="0"/>
        <v>0.1198924731182795</v>
      </c>
    </row>
    <row r="16" spans="2:9" x14ac:dyDescent="0.3">
      <c r="B16" t="s">
        <v>28</v>
      </c>
      <c r="C16" t="s">
        <v>45</v>
      </c>
      <c r="D16">
        <v>109</v>
      </c>
      <c r="E16">
        <v>1.5462</v>
      </c>
      <c r="F16">
        <v>1.5461</v>
      </c>
      <c r="G16">
        <v>1.5509999999999999</v>
      </c>
      <c r="H16">
        <v>1.5509999999999999</v>
      </c>
      <c r="I16">
        <f t="shared" si="0"/>
        <v>4.4495412844036887E-2</v>
      </c>
    </row>
    <row r="17" spans="2:9" x14ac:dyDescent="0.3">
      <c r="B17" t="s">
        <v>29</v>
      </c>
      <c r="C17" t="s">
        <v>46</v>
      </c>
      <c r="D17">
        <v>75</v>
      </c>
      <c r="E17">
        <v>1.5279</v>
      </c>
      <c r="F17">
        <v>1.5277000000000001</v>
      </c>
      <c r="G17">
        <v>1.5304</v>
      </c>
      <c r="H17">
        <v>1.5302</v>
      </c>
      <c r="I17">
        <f t="shared" si="0"/>
        <v>3.3333333333332625E-2</v>
      </c>
    </row>
    <row r="18" spans="2:9" x14ac:dyDescent="0.3">
      <c r="B18" t="s">
        <v>30</v>
      </c>
      <c r="C18" t="s">
        <v>47</v>
      </c>
      <c r="D18">
        <v>108</v>
      </c>
      <c r="E18">
        <v>1.5089999999999999</v>
      </c>
      <c r="F18">
        <v>1.5088999999999999</v>
      </c>
      <c r="G18">
        <v>1.5130999999999999</v>
      </c>
      <c r="H18">
        <v>1.5128999999999999</v>
      </c>
      <c r="I18">
        <f t="shared" si="0"/>
        <v>3.7499999999998951E-2</v>
      </c>
    </row>
    <row r="19" spans="2:9" x14ac:dyDescent="0.3">
      <c r="B19" t="s">
        <v>31</v>
      </c>
      <c r="C19" t="s">
        <v>48</v>
      </c>
      <c r="D19">
        <v>123</v>
      </c>
      <c r="E19">
        <v>1.518</v>
      </c>
      <c r="F19">
        <v>1.5179</v>
      </c>
      <c r="G19">
        <v>1.5242</v>
      </c>
      <c r="H19">
        <v>1.5242</v>
      </c>
      <c r="I19">
        <f t="shared" si="0"/>
        <v>5.0813008130082028E-2</v>
      </c>
    </row>
    <row r="20" spans="2:9" x14ac:dyDescent="0.3">
      <c r="B20" t="s">
        <v>32</v>
      </c>
      <c r="C20" t="s">
        <v>49</v>
      </c>
      <c r="D20">
        <v>88</v>
      </c>
      <c r="E20">
        <v>1.5288999999999999</v>
      </c>
      <c r="F20">
        <v>1.5287999999999999</v>
      </c>
      <c r="G20">
        <v>1.5346</v>
      </c>
      <c r="H20">
        <v>1.5345</v>
      </c>
      <c r="I20">
        <f t="shared" si="0"/>
        <v>6.4772727272727718E-2</v>
      </c>
    </row>
    <row r="21" spans="2:9" x14ac:dyDescent="0.3">
      <c r="B21" t="s">
        <v>33</v>
      </c>
      <c r="C21" t="s">
        <v>49</v>
      </c>
      <c r="D21">
        <v>93</v>
      </c>
      <c r="E21">
        <v>1.5633999999999999</v>
      </c>
      <c r="F21">
        <v>1.5632999999999999</v>
      </c>
      <c r="G21">
        <v>1.5694999999999999</v>
      </c>
      <c r="H21">
        <v>1.5693999999999999</v>
      </c>
      <c r="I21">
        <f t="shared" si="0"/>
        <v>6.5591397849462302E-2</v>
      </c>
    </row>
    <row r="22" spans="2:9" x14ac:dyDescent="0.3">
      <c r="B22" t="s">
        <v>34</v>
      </c>
      <c r="C22" t="s">
        <v>50</v>
      </c>
      <c r="D22">
        <v>78</v>
      </c>
      <c r="E22">
        <v>1.5207999999999999</v>
      </c>
      <c r="F22">
        <v>1.5209999999999999</v>
      </c>
      <c r="G22">
        <v>1.5243</v>
      </c>
      <c r="H22">
        <v>1.5241</v>
      </c>
      <c r="I22">
        <f t="shared" si="0"/>
        <v>4.2307692307693344E-2</v>
      </c>
    </row>
    <row r="23" spans="2:9" x14ac:dyDescent="0.3">
      <c r="B23" t="s">
        <v>35</v>
      </c>
      <c r="C23" t="s">
        <v>51</v>
      </c>
      <c r="D23">
        <v>362</v>
      </c>
      <c r="E23">
        <v>1.5578000000000001</v>
      </c>
      <c r="F23">
        <v>1.5580000000000001</v>
      </c>
      <c r="G23">
        <v>1.5734999999999999</v>
      </c>
      <c r="H23">
        <v>1.5734999999999999</v>
      </c>
      <c r="I23">
        <f t="shared" si="0"/>
        <v>4.309392265193325E-2</v>
      </c>
    </row>
    <row r="24" spans="2:9" x14ac:dyDescent="0.3">
      <c r="B24" t="s">
        <v>36</v>
      </c>
      <c r="C24" t="s">
        <v>52</v>
      </c>
      <c r="D24">
        <v>476</v>
      </c>
      <c r="E24">
        <v>1.5495000000000001</v>
      </c>
      <c r="F24">
        <v>1.5492999999999999</v>
      </c>
      <c r="G24">
        <v>1.5633999999999999</v>
      </c>
      <c r="H24">
        <v>1.5632999999999999</v>
      </c>
      <c r="I24">
        <f t="shared" si="0"/>
        <v>2.9306722689075432E-2</v>
      </c>
    </row>
    <row r="25" spans="2:9" x14ac:dyDescent="0.3">
      <c r="B25" t="s">
        <v>37</v>
      </c>
      <c r="C25" t="s">
        <v>53</v>
      </c>
      <c r="D25">
        <v>94</v>
      </c>
      <c r="E25">
        <v>1.5175000000000001</v>
      </c>
      <c r="F25">
        <v>1.5175000000000001</v>
      </c>
      <c r="G25">
        <v>1.5186999999999999</v>
      </c>
      <c r="H25">
        <v>1.5187999999999999</v>
      </c>
      <c r="I25">
        <f t="shared" si="0"/>
        <v>1.3297872340422885E-2</v>
      </c>
    </row>
    <row r="26" spans="2:9" x14ac:dyDescent="0.3">
      <c r="B26" t="s">
        <v>38</v>
      </c>
      <c r="C26" t="s">
        <v>54</v>
      </c>
      <c r="D26">
        <v>101</v>
      </c>
      <c r="E26">
        <v>1.5185</v>
      </c>
      <c r="F26">
        <v>1.5186999999999999</v>
      </c>
      <c r="G26">
        <v>1.5196000000000001</v>
      </c>
      <c r="H26">
        <v>1.5195000000000001</v>
      </c>
      <c r="I26">
        <f t="shared" si="0"/>
        <v>9.4059405940616677E-3</v>
      </c>
    </row>
    <row r="27" spans="2:9" x14ac:dyDescent="0.3">
      <c r="B27" t="s">
        <v>39</v>
      </c>
      <c r="C27" t="s">
        <v>55</v>
      </c>
      <c r="D27">
        <v>109</v>
      </c>
      <c r="E27">
        <v>1.5628</v>
      </c>
      <c r="F27">
        <v>1.5627</v>
      </c>
      <c r="G27">
        <v>1.5638000000000001</v>
      </c>
      <c r="H27">
        <v>1.5637000000000001</v>
      </c>
      <c r="I27">
        <f t="shared" si="0"/>
        <v>9.1743119266085686E-3</v>
      </c>
    </row>
    <row r="28" spans="2:9" x14ac:dyDescent="0.3">
      <c r="B28" t="s">
        <v>40</v>
      </c>
      <c r="C28" t="s">
        <v>56</v>
      </c>
      <c r="D28">
        <v>131</v>
      </c>
      <c r="E28">
        <v>1.5308999999999999</v>
      </c>
      <c r="F28">
        <v>1.5308999999999999</v>
      </c>
      <c r="G28">
        <v>1.5465</v>
      </c>
      <c r="H28">
        <v>1.5464</v>
      </c>
      <c r="I28">
        <f t="shared" si="0"/>
        <v>0.1187022900763372</v>
      </c>
    </row>
    <row r="29" spans="2:9" x14ac:dyDescent="0.3">
      <c r="B29" t="s">
        <v>41</v>
      </c>
      <c r="C29" t="s">
        <v>57</v>
      </c>
      <c r="D29">
        <v>103</v>
      </c>
      <c r="E29">
        <v>1.5702</v>
      </c>
      <c r="F29">
        <v>1.5702</v>
      </c>
      <c r="G29">
        <v>1.58</v>
      </c>
      <c r="H29">
        <v>1.5799000000000001</v>
      </c>
      <c r="I29">
        <f t="shared" si="0"/>
        <v>9.4660194174758711E-2</v>
      </c>
    </row>
    <row r="30" spans="2:9" x14ac:dyDescent="0.3">
      <c r="B30" t="s">
        <v>42</v>
      </c>
      <c r="C30" t="s">
        <v>10</v>
      </c>
      <c r="D30">
        <v>120</v>
      </c>
      <c r="E30">
        <v>1.5565</v>
      </c>
      <c r="F30">
        <v>1.5563</v>
      </c>
      <c r="G30">
        <v>1.5717000000000001</v>
      </c>
      <c r="H30">
        <v>1.5717000000000001</v>
      </c>
      <c r="I30">
        <f t="shared" si="0"/>
        <v>0.12750000000000078</v>
      </c>
    </row>
    <row r="31" spans="2:9" x14ac:dyDescent="0.3">
      <c r="B31" t="s">
        <v>58</v>
      </c>
      <c r="C31" t="s">
        <v>72</v>
      </c>
      <c r="D31">
        <v>44</v>
      </c>
      <c r="E31">
        <v>1.5325</v>
      </c>
      <c r="F31">
        <v>1.5325</v>
      </c>
      <c r="G31">
        <v>1.5373000000000001</v>
      </c>
      <c r="H31">
        <v>1.5373000000000001</v>
      </c>
      <c r="I31">
        <f t="shared" si="0"/>
        <v>0.10909090909091221</v>
      </c>
    </row>
    <row r="32" spans="2:9" x14ac:dyDescent="0.3">
      <c r="B32" t="s">
        <v>59</v>
      </c>
      <c r="C32" t="s">
        <v>43</v>
      </c>
      <c r="D32">
        <v>121</v>
      </c>
      <c r="E32">
        <v>1.5159</v>
      </c>
      <c r="F32">
        <v>1.5161</v>
      </c>
      <c r="G32">
        <v>1.5215000000000001</v>
      </c>
      <c r="H32">
        <v>1.5213000000000001</v>
      </c>
      <c r="I32">
        <f t="shared" si="0"/>
        <v>4.4628099173554314E-2</v>
      </c>
    </row>
    <row r="33" spans="2:9" x14ac:dyDescent="0.3">
      <c r="B33" t="s">
        <v>64</v>
      </c>
      <c r="C33" t="s">
        <v>73</v>
      </c>
      <c r="D33">
        <v>95</v>
      </c>
      <c r="E33">
        <v>1.5239</v>
      </c>
      <c r="F33">
        <v>1.5239</v>
      </c>
      <c r="G33">
        <v>1.5288999999999999</v>
      </c>
      <c r="H33">
        <v>1.5286999999999999</v>
      </c>
      <c r="I33">
        <f t="shared" si="0"/>
        <v>5.1578947368420044E-2</v>
      </c>
    </row>
    <row r="34" spans="2:9" x14ac:dyDescent="0.3">
      <c r="B34" t="s">
        <v>60</v>
      </c>
      <c r="C34" t="s">
        <v>54</v>
      </c>
      <c r="D34">
        <v>92</v>
      </c>
      <c r="E34">
        <v>1.5470999999999999</v>
      </c>
      <c r="F34">
        <v>1.5470999999999999</v>
      </c>
      <c r="G34">
        <v>1.5513999999999999</v>
      </c>
      <c r="H34">
        <v>1.5510999999999999</v>
      </c>
      <c r="I34">
        <f t="shared" si="0"/>
        <v>4.5108695652174978E-2</v>
      </c>
    </row>
    <row r="35" spans="2:9" x14ac:dyDescent="0.3">
      <c r="B35" t="s">
        <v>61</v>
      </c>
      <c r="C35" t="s">
        <v>74</v>
      </c>
      <c r="D35">
        <v>112</v>
      </c>
      <c r="E35">
        <v>1.5556000000000001</v>
      </c>
      <c r="F35">
        <v>1.5556000000000001</v>
      </c>
      <c r="G35">
        <v>1.5609999999999999</v>
      </c>
      <c r="H35">
        <v>1.5609999999999999</v>
      </c>
      <c r="I35">
        <f t="shared" si="0"/>
        <v>4.821428571428437E-2</v>
      </c>
    </row>
    <row r="36" spans="2:9" x14ac:dyDescent="0.3">
      <c r="B36" t="s">
        <v>65</v>
      </c>
      <c r="C36" t="s">
        <v>75</v>
      </c>
      <c r="D36">
        <v>96</v>
      </c>
      <c r="E36">
        <v>1.5264</v>
      </c>
      <c r="F36">
        <v>1.5264</v>
      </c>
      <c r="G36">
        <v>1.5323</v>
      </c>
      <c r="H36">
        <v>1.5323</v>
      </c>
      <c r="I36">
        <f t="shared" ref="I36:I67" si="1">((AVERAGE(G36, H36) - AVERAGE(E36, F36)) / D36) * 1000</f>
        <v>6.1458333333333504E-2</v>
      </c>
    </row>
    <row r="37" spans="2:9" x14ac:dyDescent="0.3">
      <c r="B37" t="s">
        <v>62</v>
      </c>
      <c r="C37" t="s">
        <v>76</v>
      </c>
      <c r="D37">
        <v>79</v>
      </c>
      <c r="E37">
        <v>1.5268999999999999</v>
      </c>
      <c r="F37">
        <v>1.5268999999999999</v>
      </c>
      <c r="G37">
        <v>1.5342</v>
      </c>
      <c r="H37">
        <v>1.5341</v>
      </c>
      <c r="I37">
        <f t="shared" si="1"/>
        <v>9.1772151898733903E-2</v>
      </c>
    </row>
    <row r="38" spans="2:9" x14ac:dyDescent="0.3">
      <c r="B38" t="s">
        <v>63</v>
      </c>
      <c r="C38" t="s">
        <v>76</v>
      </c>
      <c r="D38">
        <v>82</v>
      </c>
      <c r="E38">
        <v>1.5251999999999999</v>
      </c>
      <c r="F38">
        <v>1.5251999999999999</v>
      </c>
      <c r="G38">
        <v>1.5313000000000001</v>
      </c>
      <c r="H38">
        <v>1.5311999999999999</v>
      </c>
      <c r="I38">
        <f t="shared" si="1"/>
        <v>7.3780487804879405E-2</v>
      </c>
    </row>
    <row r="39" spans="2:9" x14ac:dyDescent="0.3">
      <c r="B39" t="s">
        <v>66</v>
      </c>
      <c r="C39" t="s">
        <v>77</v>
      </c>
      <c r="D39">
        <v>65</v>
      </c>
      <c r="E39">
        <v>1.5516000000000001</v>
      </c>
      <c r="F39">
        <v>1.5516000000000001</v>
      </c>
      <c r="G39">
        <v>1.5559000000000001</v>
      </c>
      <c r="H39">
        <v>1.556</v>
      </c>
      <c r="I39">
        <f t="shared" si="1"/>
        <v>6.6923076923078098E-2</v>
      </c>
    </row>
    <row r="40" spans="2:9" x14ac:dyDescent="0.3">
      <c r="B40" t="s">
        <v>67</v>
      </c>
      <c r="C40" t="s">
        <v>78</v>
      </c>
      <c r="D40">
        <v>115</v>
      </c>
      <c r="E40">
        <v>1.5383</v>
      </c>
      <c r="F40">
        <v>1.5383</v>
      </c>
      <c r="G40">
        <v>1.5398000000000001</v>
      </c>
      <c r="H40">
        <v>1.5397000000000001</v>
      </c>
      <c r="I40">
        <f t="shared" si="1"/>
        <v>1.2608695652175421E-2</v>
      </c>
    </row>
    <row r="41" spans="2:9" x14ac:dyDescent="0.3">
      <c r="B41" t="s">
        <v>68</v>
      </c>
      <c r="C41" t="s">
        <v>79</v>
      </c>
      <c r="D41">
        <v>96</v>
      </c>
      <c r="E41">
        <v>1.5377000000000001</v>
      </c>
      <c r="F41">
        <v>1.5377000000000001</v>
      </c>
      <c r="G41">
        <v>1.54</v>
      </c>
      <c r="H41">
        <v>1.5399</v>
      </c>
      <c r="I41">
        <f t="shared" si="1"/>
        <v>2.3437500000000888E-2</v>
      </c>
    </row>
    <row r="42" spans="2:9" x14ac:dyDescent="0.3">
      <c r="B42" t="s">
        <v>69</v>
      </c>
      <c r="C42" t="s">
        <v>80</v>
      </c>
      <c r="D42">
        <v>50</v>
      </c>
      <c r="E42">
        <v>1.5233000000000001</v>
      </c>
      <c r="F42">
        <v>1.5232000000000001</v>
      </c>
      <c r="G42">
        <v>1.5244</v>
      </c>
      <c r="H42">
        <v>1.5244</v>
      </c>
      <c r="I42">
        <f t="shared" si="1"/>
        <v>2.2999999999999687E-2</v>
      </c>
    </row>
    <row r="43" spans="2:9" x14ac:dyDescent="0.3">
      <c r="B43" t="s">
        <v>70</v>
      </c>
      <c r="C43" t="s">
        <v>81</v>
      </c>
      <c r="D43">
        <v>303</v>
      </c>
      <c r="E43">
        <v>1.5444</v>
      </c>
      <c r="F43">
        <v>1.5444</v>
      </c>
      <c r="G43">
        <v>1.5689</v>
      </c>
      <c r="H43">
        <v>1.5689</v>
      </c>
      <c r="I43">
        <f t="shared" si="1"/>
        <v>8.085808580858074E-2</v>
      </c>
    </row>
    <row r="44" spans="2:9" x14ac:dyDescent="0.3">
      <c r="B44" t="s">
        <v>71</v>
      </c>
      <c r="C44" t="s">
        <v>75</v>
      </c>
      <c r="D44">
        <v>384</v>
      </c>
      <c r="E44">
        <v>1.5384</v>
      </c>
      <c r="F44">
        <v>1.5384</v>
      </c>
      <c r="G44">
        <v>1.5508999999999999</v>
      </c>
      <c r="H44">
        <v>1.5507</v>
      </c>
      <c r="I44">
        <f t="shared" si="1"/>
        <v>3.229166666666658E-2</v>
      </c>
    </row>
    <row r="45" spans="2:9" x14ac:dyDescent="0.3">
      <c r="B45" t="s">
        <v>82</v>
      </c>
      <c r="C45" t="s">
        <v>79</v>
      </c>
      <c r="D45">
        <v>101</v>
      </c>
      <c r="E45">
        <v>1.5489999999999999</v>
      </c>
      <c r="F45">
        <v>1.5488</v>
      </c>
      <c r="G45">
        <v>1.5548</v>
      </c>
      <c r="H45">
        <v>1.5546</v>
      </c>
      <c r="I45">
        <f t="shared" si="1"/>
        <v>5.7425742574257699E-2</v>
      </c>
    </row>
    <row r="46" spans="2:9" x14ac:dyDescent="0.3">
      <c r="B46" t="s">
        <v>83</v>
      </c>
      <c r="C46" t="s">
        <v>91</v>
      </c>
      <c r="D46">
        <v>103</v>
      </c>
      <c r="E46">
        <v>1.5317000000000001</v>
      </c>
      <c r="F46">
        <v>1.5317000000000001</v>
      </c>
      <c r="G46">
        <v>1.5383</v>
      </c>
      <c r="H46">
        <v>1.5383</v>
      </c>
      <c r="I46">
        <f t="shared" si="1"/>
        <v>6.4077669902912041E-2</v>
      </c>
    </row>
    <row r="47" spans="2:9" x14ac:dyDescent="0.3">
      <c r="B47" t="s">
        <v>88</v>
      </c>
      <c r="C47" t="s">
        <v>92</v>
      </c>
      <c r="D47">
        <v>83</v>
      </c>
      <c r="E47">
        <v>1.5282</v>
      </c>
      <c r="F47">
        <v>1.5282</v>
      </c>
      <c r="G47">
        <v>1.5325</v>
      </c>
      <c r="H47">
        <v>1.5326</v>
      </c>
      <c r="I47">
        <f t="shared" si="1"/>
        <v>5.2409638554217784E-2</v>
      </c>
    </row>
    <row r="48" spans="2:9" x14ac:dyDescent="0.3">
      <c r="B48" t="s">
        <v>84</v>
      </c>
      <c r="C48" t="s">
        <v>93</v>
      </c>
      <c r="D48">
        <v>88</v>
      </c>
      <c r="E48">
        <v>1.5391999999999999</v>
      </c>
      <c r="F48">
        <v>1.5394000000000001</v>
      </c>
      <c r="G48">
        <v>1.5465</v>
      </c>
      <c r="H48">
        <v>1.5463</v>
      </c>
      <c r="I48">
        <f t="shared" si="1"/>
        <v>8.0681818181819381E-2</v>
      </c>
    </row>
    <row r="49" spans="2:9" x14ac:dyDescent="0.3">
      <c r="B49" t="s">
        <v>85</v>
      </c>
      <c r="C49" t="s">
        <v>93</v>
      </c>
      <c r="D49">
        <v>95</v>
      </c>
      <c r="E49">
        <v>1.5439000000000001</v>
      </c>
      <c r="F49">
        <v>1.5442</v>
      </c>
      <c r="G49">
        <v>1.5509999999999999</v>
      </c>
      <c r="H49">
        <v>1.5508</v>
      </c>
      <c r="I49">
        <f t="shared" si="1"/>
        <v>7.2105263157894978E-2</v>
      </c>
    </row>
    <row r="50" spans="2:9" x14ac:dyDescent="0.3">
      <c r="B50" t="s">
        <v>89</v>
      </c>
      <c r="C50" t="s">
        <v>94</v>
      </c>
      <c r="D50">
        <v>79</v>
      </c>
      <c r="E50">
        <v>1.5095000000000001</v>
      </c>
      <c r="F50">
        <v>1.5097</v>
      </c>
      <c r="G50">
        <v>1.5147999999999999</v>
      </c>
      <c r="H50">
        <v>1.5145999999999999</v>
      </c>
      <c r="I50">
        <f t="shared" si="1"/>
        <v>6.4556962025314968E-2</v>
      </c>
    </row>
    <row r="51" spans="2:9" x14ac:dyDescent="0.3">
      <c r="B51" t="s">
        <v>86</v>
      </c>
      <c r="C51" t="s">
        <v>95</v>
      </c>
      <c r="D51">
        <v>90</v>
      </c>
      <c r="E51">
        <v>1.5364</v>
      </c>
      <c r="F51">
        <v>1.5364</v>
      </c>
      <c r="G51">
        <v>1.5410999999999999</v>
      </c>
      <c r="H51">
        <v>1.5410999999999999</v>
      </c>
      <c r="I51">
        <f t="shared" si="1"/>
        <v>5.2222222222221407E-2</v>
      </c>
    </row>
    <row r="52" spans="2:9" x14ac:dyDescent="0.3">
      <c r="B52" t="s">
        <v>87</v>
      </c>
      <c r="C52" t="s">
        <v>96</v>
      </c>
      <c r="D52">
        <v>88</v>
      </c>
      <c r="E52">
        <v>1.5238</v>
      </c>
      <c r="F52">
        <v>1.5238</v>
      </c>
      <c r="G52">
        <v>1.5284</v>
      </c>
      <c r="H52">
        <v>1.5285</v>
      </c>
      <c r="I52">
        <f t="shared" si="1"/>
        <v>5.2840909090907051E-2</v>
      </c>
    </row>
    <row r="53" spans="2:9" x14ac:dyDescent="0.3">
      <c r="B53" t="s">
        <v>90</v>
      </c>
      <c r="C53" t="s">
        <v>50</v>
      </c>
      <c r="D53">
        <v>69</v>
      </c>
      <c r="E53">
        <v>1.5234000000000001</v>
      </c>
      <c r="F53">
        <v>1.5235000000000001</v>
      </c>
      <c r="G53">
        <v>1.5266</v>
      </c>
      <c r="H53">
        <v>1.5269999999999999</v>
      </c>
      <c r="I53">
        <f t="shared" si="1"/>
        <v>4.8550724637680641E-2</v>
      </c>
    </row>
    <row r="54" spans="2:9" x14ac:dyDescent="0.3">
      <c r="B54" t="s">
        <v>97</v>
      </c>
      <c r="C54" t="s">
        <v>105</v>
      </c>
      <c r="D54">
        <v>84</v>
      </c>
      <c r="E54">
        <v>1.5434000000000001</v>
      </c>
      <c r="F54">
        <v>1.5431999999999999</v>
      </c>
      <c r="G54">
        <v>1.5442</v>
      </c>
      <c r="H54">
        <v>1.544</v>
      </c>
      <c r="I54" s="2">
        <f>((AVERAGE(G54, H54) - AVERAGE(E54, F54)) / D54) * 1000</f>
        <v>9.5238095238111189E-3</v>
      </c>
    </row>
    <row r="55" spans="2:9" x14ac:dyDescent="0.3">
      <c r="B55" t="s">
        <v>98</v>
      </c>
      <c r="C55" t="s">
        <v>106</v>
      </c>
      <c r="D55">
        <v>83</v>
      </c>
      <c r="E55">
        <v>1.5434000000000001</v>
      </c>
      <c r="F55">
        <v>1.5434000000000001</v>
      </c>
      <c r="G55">
        <v>1.5441</v>
      </c>
      <c r="H55">
        <v>1.5444</v>
      </c>
      <c r="I55" s="2">
        <f>((AVERAGE(G55, H55) - AVERAGE(E55, F55)) / D55) * 1000</f>
        <v>1.0240963855419222E-2</v>
      </c>
    </row>
    <row r="56" spans="2:9" x14ac:dyDescent="0.3">
      <c r="B56" t="s">
        <v>99</v>
      </c>
      <c r="C56" t="s">
        <v>107</v>
      </c>
      <c r="D56">
        <v>83</v>
      </c>
      <c r="E56">
        <v>1.538</v>
      </c>
      <c r="F56">
        <v>1.5383</v>
      </c>
      <c r="G56">
        <v>1.5388999999999999</v>
      </c>
      <c r="H56">
        <v>1.5387999999999999</v>
      </c>
      <c r="I56" s="2">
        <f>((AVERAGE(G56, H56) - AVERAGE(E56, F56)) / D56) * 1000</f>
        <v>8.4337349397607831E-3</v>
      </c>
    </row>
    <row r="57" spans="2:9" x14ac:dyDescent="0.3">
      <c r="B57" t="s">
        <v>100</v>
      </c>
      <c r="C57" t="s">
        <v>108</v>
      </c>
      <c r="D57">
        <v>312</v>
      </c>
      <c r="E57">
        <v>1.5606</v>
      </c>
      <c r="F57">
        <v>1.5606</v>
      </c>
      <c r="G57">
        <v>1.5707</v>
      </c>
      <c r="H57">
        <v>1.5706</v>
      </c>
      <c r="I57" s="2">
        <f>((AVERAGE(G57, H57) - AVERAGE(E57, F57)) / D57) * 1000</f>
        <v>3.2211538461538826E-2</v>
      </c>
    </row>
    <row r="58" spans="2:9" x14ac:dyDescent="0.3">
      <c r="B58" t="s">
        <v>101</v>
      </c>
      <c r="C58" t="s">
        <v>109</v>
      </c>
      <c r="D58">
        <v>347</v>
      </c>
      <c r="E58">
        <v>1.5387999999999999</v>
      </c>
      <c r="F58">
        <v>1.5388999999999999</v>
      </c>
      <c r="G58">
        <v>1.5547</v>
      </c>
      <c r="H58">
        <v>1.5548999999999999</v>
      </c>
      <c r="I58" s="2">
        <f>((AVERAGE(G58, H58) - AVERAGE(E58, F58)) / D58) * 1000</f>
        <v>4.5965417867434896E-2</v>
      </c>
    </row>
    <row r="59" spans="2:9" x14ac:dyDescent="0.3">
      <c r="B59" t="s">
        <v>102</v>
      </c>
      <c r="C59" t="s">
        <v>57</v>
      </c>
      <c r="D59">
        <v>112</v>
      </c>
      <c r="E59">
        <v>1.5268999999999999</v>
      </c>
      <c r="F59">
        <v>1.5267999999999999</v>
      </c>
      <c r="G59">
        <v>1.5306999999999999</v>
      </c>
      <c r="H59">
        <v>1.5306999999999999</v>
      </c>
      <c r="I59" s="2">
        <f>((AVERAGE(G59, H59) - AVERAGE(E59, F59)) / D59) * 1000</f>
        <v>3.4374999999999191E-2</v>
      </c>
    </row>
    <row r="60" spans="2:9" x14ac:dyDescent="0.3">
      <c r="B60" t="s">
        <v>103</v>
      </c>
      <c r="C60" t="s">
        <v>56</v>
      </c>
      <c r="D60">
        <v>118</v>
      </c>
      <c r="E60">
        <v>1.5289999999999999</v>
      </c>
      <c r="F60">
        <v>1.5289999999999999</v>
      </c>
      <c r="G60">
        <v>1.5443</v>
      </c>
      <c r="H60">
        <v>1.5443</v>
      </c>
      <c r="I60" s="2">
        <f>((AVERAGE(G60, H60) - AVERAGE(E60, F60)) / D60) * 1000</f>
        <v>0.1296610169491533</v>
      </c>
    </row>
    <row r="61" spans="2:9" x14ac:dyDescent="0.3">
      <c r="B61" t="s">
        <v>104</v>
      </c>
      <c r="C61" t="s">
        <v>10</v>
      </c>
      <c r="D61">
        <v>113</v>
      </c>
      <c r="E61">
        <v>1.5190999999999999</v>
      </c>
      <c r="F61">
        <v>1.5192000000000001</v>
      </c>
      <c r="G61">
        <v>1.5350999999999999</v>
      </c>
      <c r="H61">
        <v>1.5350999999999999</v>
      </c>
      <c r="I61" s="2">
        <f>((AVERAGE(G61, H61) - AVERAGE(E61, F61)) / D61) * 1000</f>
        <v>0.14115044247787528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 Frazier</dc:creator>
  <cp:lastModifiedBy>Kaya Frazier</cp:lastModifiedBy>
  <dcterms:created xsi:type="dcterms:W3CDTF">2025-04-30T00:28:33Z</dcterms:created>
  <dcterms:modified xsi:type="dcterms:W3CDTF">2025-05-07T18:11:19Z</dcterms:modified>
</cp:coreProperties>
</file>